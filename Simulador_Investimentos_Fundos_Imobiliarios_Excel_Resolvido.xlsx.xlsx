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dênia Coelho\Desktop\"/>
    </mc:Choice>
  </mc:AlternateContent>
  <xr:revisionPtr revIDLastSave="0" documentId="13_ncr:1_{99F8AA6A-4A1E-4C22-AD73-D508AC1281BB}" xr6:coauthVersionLast="47" xr6:coauthVersionMax="47" xr10:uidLastSave="{00000000-0000-0000-0000-000000000000}"/>
  <bookViews>
    <workbookView xWindow="-120" yWindow="-120" windowWidth="20730" windowHeight="11160" xr2:uid="{C3A704C5-F641-4C50-99B9-F3D72F2CC833}"/>
  </bookViews>
  <sheets>
    <sheet name="Planilha1" sheetId="1" r:id="rId1"/>
    <sheet name="Planilha2" sheetId="2" r:id="rId2"/>
  </sheets>
  <definedNames>
    <definedName name="Aporte">Planilha1!$D$16</definedName>
    <definedName name="patrimonio">Planilha1!$D$19</definedName>
    <definedName name="qtd_anos">Planilha1!$D$17</definedName>
    <definedName name="Rendimento_carteira">Planilha1!$C$12</definedName>
    <definedName name="salario">Planilha1!$D$11</definedName>
    <definedName name="sugestao_investimento">Planilha1!$C$13</definedName>
    <definedName name="taxa_mensal">Planilha1!$D$18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1" l="1"/>
  <c r="C35" i="1"/>
  <c r="C36" i="1"/>
  <c r="C37" i="1"/>
  <c r="D37" i="1" s="1"/>
  <c r="C38" i="1"/>
  <c r="C33" i="1"/>
  <c r="G3" i="2"/>
  <c r="F3" i="2"/>
  <c r="A14" i="2"/>
  <c r="A15" i="2"/>
  <c r="A16" i="2"/>
  <c r="A17" i="2"/>
  <c r="A18" i="2"/>
  <c r="A19" i="2"/>
  <c r="A9" i="2"/>
  <c r="A10" i="2"/>
  <c r="A11" i="2"/>
  <c r="A12" i="2"/>
  <c r="A13" i="2"/>
  <c r="A8" i="2"/>
  <c r="A3" i="2"/>
  <c r="A4" i="2"/>
  <c r="A5" i="2"/>
  <c r="A6" i="2"/>
  <c r="A7" i="2"/>
  <c r="A2" i="2"/>
  <c r="D34" i="1"/>
  <c r="D33" i="1"/>
  <c r="D35" i="1"/>
  <c r="D36" i="1"/>
  <c r="D38" i="1"/>
  <c r="C30" i="1"/>
  <c r="D13" i="1"/>
  <c r="D19" i="1"/>
  <c r="D20" i="1" s="1"/>
  <c r="C24" i="1"/>
  <c r="D24" i="1" s="1"/>
  <c r="C25" i="1"/>
  <c r="D25" i="1" s="1"/>
  <c r="C26" i="1"/>
  <c r="D26" i="1" s="1"/>
  <c r="C27" i="1"/>
  <c r="D27" i="1" s="1"/>
  <c r="C23" i="1"/>
  <c r="D23" i="1" s="1"/>
  <c r="D39" i="1" l="1"/>
</calcChain>
</file>

<file path=xl/sharedStrings.xml><?xml version="1.0" encoding="utf-8"?>
<sst xmlns="http://schemas.openxmlformats.org/spreadsheetml/2006/main" count="68" uniqueCount="32">
  <si>
    <t>Quanto investir por mês?</t>
  </si>
  <si>
    <t>Por quantos anos investir?</t>
  </si>
  <si>
    <t>Taxa de rendimento mensal?</t>
  </si>
  <si>
    <t>Quanto de patrimônio acumulado eu terei?</t>
  </si>
  <si>
    <t>Valor dos 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</si>
  <si>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</si>
  <si>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</si>
  <si>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</si>
  <si>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</si>
  <si>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</si>
  <si>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</si>
  <si>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</si>
  <si>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</si>
  <si>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Salário</t>
  </si>
  <si>
    <t>Rendimento Carteira</t>
  </si>
  <si>
    <t>Sugestão de investimento</t>
  </si>
  <si>
    <t>CONFIGURAÇÕES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</si>
  <si>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</si>
  <si>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</si>
  <si>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</si>
  <si>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</si>
  <si>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</si>
  <si>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</si>
  <si>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</si>
  <si>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</si>
  <si>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</si>
  <si>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</si>
  <si>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</si>
  <si>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</si>
  <si>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CHAVE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</si>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</sst>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8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0"/>
      <name val="Candara"/>
      <family val="2"/>
    </font>
    <font>
      <sz val="12"/>
      <color theme="7" tint="-0.499984740745262"/>
      <name val="Arial"/>
      <family val="2"/>
    </font>
    <font>
      <sz val="11"/>
      <color theme="7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4B49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theme="0" tint="-0.14996795556505021"/>
      </right>
      <top style="medium">
        <color indexed="64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medium">
        <color indexed="64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medium">
        <color indexed="64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/>
      <right/>
      <top style="medium">
        <color indexed="64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/>
    <xf numFmtId="0" fontId="3" fillId="0" borderId="0" xfId="0" applyFont="1"/>
    <xf numFmtId="168" fontId="0" fillId="0" borderId="0" xfId="0" applyNumberFormat="1"/>
    <xf numFmtId="8" fontId="0" fillId="3" borderId="7" xfId="0" applyNumberFormat="1" applyFill="1" applyBorder="1" applyAlignment="1">
      <alignment horizontal="center"/>
    </xf>
    <xf numFmtId="8" fontId="0" fillId="3" borderId="8" xfId="0" applyNumberFormat="1" applyFill="1" applyBorder="1" applyAlignment="1">
      <alignment horizontal="center"/>
    </xf>
    <xf numFmtId="8" fontId="0" fillId="3" borderId="10" xfId="0" applyNumberFormat="1" applyFill="1" applyBorder="1" applyAlignment="1">
      <alignment horizontal="center"/>
    </xf>
    <xf numFmtId="8" fontId="0" fillId="3" borderId="11" xfId="0" applyNumberFormat="1" applyFill="1" applyBorder="1" applyAlignment="1">
      <alignment horizontal="center"/>
    </xf>
    <xf numFmtId="168" fontId="0" fillId="0" borderId="13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4" fillId="3" borderId="6" xfId="0" applyFont="1" applyFill="1" applyBorder="1"/>
    <xf numFmtId="0" fontId="4" fillId="3" borderId="9" xfId="0" applyFont="1" applyFill="1" applyBorder="1"/>
    <xf numFmtId="0" fontId="4" fillId="0" borderId="1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8" fontId="2" fillId="0" borderId="13" xfId="1" applyNumberFormat="1" applyFont="1" applyBorder="1" applyAlignment="1">
      <alignment horizontal="center"/>
    </xf>
    <xf numFmtId="1" fontId="2" fillId="0" borderId="8" xfId="1" applyNumberFormat="1" applyFont="1" applyBorder="1" applyAlignment="1">
      <alignment horizontal="center"/>
    </xf>
    <xf numFmtId="10" fontId="2" fillId="0" borderId="8" xfId="0" applyNumberFormat="1" applyFont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8" fontId="2" fillId="3" borderId="8" xfId="0" applyNumberFormat="1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8" fontId="2" fillId="3" borderId="11" xfId="0" applyNumberFormat="1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8" fontId="0" fillId="3" borderId="11" xfId="0" applyNumberFormat="1" applyFill="1" applyBorder="1" applyAlignment="1">
      <alignment horizontal="center"/>
    </xf>
    <xf numFmtId="0" fontId="7" fillId="5" borderId="0" xfId="0" applyFont="1" applyFill="1" applyBorder="1"/>
    <xf numFmtId="0" fontId="8" fillId="5" borderId="0" xfId="0" applyFont="1" applyFill="1"/>
    <xf numFmtId="8" fontId="8" fillId="5" borderId="0" xfId="0" applyNumberFormat="1" applyFont="1" applyFill="1"/>
    <xf numFmtId="0" fontId="2" fillId="6" borderId="0" xfId="0" applyFont="1" applyFill="1" applyAlignment="1">
      <alignment horizontal="center"/>
    </xf>
    <xf numFmtId="0" fontId="0" fillId="6" borderId="0" xfId="0" applyFill="1"/>
    <xf numFmtId="168" fontId="2" fillId="6" borderId="0" xfId="0" applyNumberFormat="1" applyFont="1" applyFill="1"/>
    <xf numFmtId="0" fontId="5" fillId="3" borderId="0" xfId="0" applyFont="1" applyFill="1" applyBorder="1"/>
    <xf numFmtId="168" fontId="2" fillId="3" borderId="0" xfId="0" applyNumberFormat="1" applyFont="1" applyFill="1"/>
    <xf numFmtId="0" fontId="2" fillId="3" borderId="0" xfId="0" applyFont="1" applyFill="1"/>
    <xf numFmtId="0" fontId="0" fillId="0" borderId="16" xfId="0" applyBorder="1"/>
    <xf numFmtId="0" fontId="0" fillId="0" borderId="16" xfId="0" applyBorder="1" applyAlignment="1">
      <alignment horizontal="center"/>
    </xf>
    <xf numFmtId="9" fontId="0" fillId="0" borderId="0" xfId="2" applyFont="1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16" xfId="2" applyFont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0" applyNumberFormat="1" applyBorder="1" applyAlignment="1">
      <alignment horizontal="center"/>
    </xf>
    <xf numFmtId="9" fontId="0" fillId="0" borderId="16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4B492"/>
      <color rgb="FF84FCE5"/>
      <color rgb="FF05EBBF"/>
      <color rgb="FF12D4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Planilha1!$C$33:$C$38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1-4F6E-A2FD-F643A5148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454024</xdr:colOff>
      <xdr:row>0</xdr:row>
      <xdr:rowOff>85725</xdr:rowOff>
    </xdr:from>
    <xdr:to>
      <xdr:col>4</xdr:col>
      <xdr:colOff>126999</xdr:colOff>
      <xdr:row>8</xdr:row>
      <xdr:rowOff>111125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9914BE6-C4D5-616E-6DD4-E9772FE3D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024" y="85725"/>
          <a:ext cx="7356475" cy="1549400"/>
        </a:xfrm>
        <a:prstGeom prst="rect">
          <a:avLst/>
        </a:prstGeom>
      </xdr:spPr>
    </xdr:pic>
    <xdr:clientData/>
  </xdr:twoCellAnchor>
  <xdr:twoCellAnchor>
    <xdr:from>
      <xdr:col>1</xdr:col>
      <xdr:colOff>1270000</xdr:colOff>
      <xdr:row>39</xdr:row>
      <xdr:rowOff>96837</xdr:rowOff>
    </xdr:from>
    <xdr:to>
      <xdr:col>3</xdr:col>
      <xdr:colOff>15875</xdr:colOff>
      <xdr:row>53</xdr:row>
      <xdr:rowOff>173037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9D78CD5-8B1D-35DC-E7AC-6630B773A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D28E-6F1C-4C9D-9597-F6B0D9AC97DE}">
  <dimension ref="A9:F51"/>
  <sheetViews>
    <sheetView showGridLines="0" showRowColHeaders="0" tabSelected="1" topLeftCell="A20" zoomScale="60" zoomScaleNormal="60" workbookViewId="0">
      <selection activeCell="E46" sqref="E46"/>
    </sheetView>
  </sheetViews>
  <sheetFormatPr defaultColWidth="0" defaultRowHeight="15" x14ac:dyDescent="0.25"/>
  <cols>
    <col min="1" max="1" width="9.140625" customWidth="1"/>
    <col min="2" max="2" width="54.85546875" bestFit="1" customWidth="1"/>
    <col min="3" max="3" width="32.5703125" customWidth="1"/>
    <col min="4" max="4" width="18.85546875" customWidth="1"/>
    <col min="5" max="5" width="28" bestFit="1" customWidth="1"/>
    <col min="6" max="6" width="13.28515625" hidden="1" customWidth="1"/>
    <col min="7" max="11" width="9.140625" hidden="1" customWidth="1"/>
    <col min="12" max="16384" width="9.140625" hidden="1"/>
  </cols>
  <sheetData>
    <row r="9" spans="2:4" ht="15.75" thickBot="1" x14ac:dyDescent="0.3"/>
    <row r="10" spans="2:4" ht="39.75" customHeight="1" x14ac:dyDescent="0.25">
      <c r="B10" s="34" t="s">
        <v>16</v>
      </c>
      <c r="C10" s="35"/>
      <c r="D10" s="36"/>
    </row>
    <row r="11" spans="2:4" ht="15.75" x14ac:dyDescent="0.25">
      <c r="B11" s="28" t="s">
        <v>13</v>
      </c>
      <c r="C11" s="29"/>
      <c r="D11" s="9">
        <v>5000</v>
      </c>
    </row>
    <row r="12" spans="2:4" ht="15.75" x14ac:dyDescent="0.25">
      <c r="B12" s="30" t="s">
        <v>14</v>
      </c>
      <c r="C12" s="31"/>
      <c r="D12" s="10">
        <v>6.0000000000000001E-3</v>
      </c>
    </row>
    <row r="13" spans="2:4" ht="16.5" thickBot="1" x14ac:dyDescent="0.3">
      <c r="B13" s="32" t="s">
        <v>15</v>
      </c>
      <c r="C13" s="33"/>
      <c r="D13" s="43">
        <f>D11*30%</f>
        <v>1500</v>
      </c>
    </row>
    <row r="14" spans="2:4" ht="15.75" thickBot="1" x14ac:dyDescent="0.3"/>
    <row r="15" spans="2:4" ht="39.75" customHeight="1" x14ac:dyDescent="0.25">
      <c r="B15" s="37" t="s">
        <v>5</v>
      </c>
      <c r="C15" s="38"/>
      <c r="D15" s="39"/>
    </row>
    <row r="16" spans="2:4" ht="15.75" x14ac:dyDescent="0.25">
      <c r="B16" s="13" t="s">
        <v>0</v>
      </c>
      <c r="C16" s="17"/>
      <c r="D16" s="19">
        <v>500</v>
      </c>
    </row>
    <row r="17" spans="1:4" ht="15.75" x14ac:dyDescent="0.25">
      <c r="B17" s="14" t="s">
        <v>1</v>
      </c>
      <c r="C17" s="18"/>
      <c r="D17" s="20">
        <v>5</v>
      </c>
    </row>
    <row r="18" spans="1:4" ht="15.75" x14ac:dyDescent="0.25">
      <c r="B18" s="14" t="s">
        <v>2</v>
      </c>
      <c r="C18" s="18"/>
      <c r="D18" s="21">
        <v>1.0789999999999999E-2</v>
      </c>
    </row>
    <row r="19" spans="1:4" ht="15.75" x14ac:dyDescent="0.25">
      <c r="B19" s="22" t="s">
        <v>3</v>
      </c>
      <c r="C19" s="23"/>
      <c r="D19" s="24">
        <f>FV(taxa_mensal,qtd_anos*12,Aporte*-1)</f>
        <v>41888.456999243819</v>
      </c>
    </row>
    <row r="20" spans="1:4" ht="16.5" thickBot="1" x14ac:dyDescent="0.3">
      <c r="B20" s="25" t="s">
        <v>4</v>
      </c>
      <c r="C20" s="26"/>
      <c r="D20" s="27">
        <f>patrimonio*D12</f>
        <v>251.33074199546292</v>
      </c>
    </row>
    <row r="21" spans="1:4" ht="15.75" thickBot="1" x14ac:dyDescent="0.3">
      <c r="C21" s="1"/>
    </row>
    <row r="22" spans="1:4" ht="39.75" customHeight="1" x14ac:dyDescent="0.25">
      <c r="B22" s="40" t="s">
        <v>11</v>
      </c>
      <c r="C22" s="41"/>
      <c r="D22" s="42" t="s">
        <v>12</v>
      </c>
    </row>
    <row r="23" spans="1:4" ht="15.75" x14ac:dyDescent="0.25">
      <c r="A23" s="3">
        <v>2</v>
      </c>
      <c r="B23" s="11" t="s">
        <v>6</v>
      </c>
      <c r="C23" s="5">
        <f>FV($D$18,A23*12,$D$16*-1)</f>
        <v>13613.813648822608</v>
      </c>
      <c r="D23" s="6">
        <f>C23*D12</f>
        <v>81.682881892935654</v>
      </c>
    </row>
    <row r="24" spans="1:4" ht="15.75" x14ac:dyDescent="0.25">
      <c r="A24" s="3">
        <v>5</v>
      </c>
      <c r="B24" s="11" t="s">
        <v>7</v>
      </c>
      <c r="C24" s="5">
        <f>FV($D$18,A24*12,$D$16*-1)</f>
        <v>41888.456999243819</v>
      </c>
      <c r="D24" s="6">
        <f>C24*D12</f>
        <v>251.33074199546292</v>
      </c>
    </row>
    <row r="25" spans="1:4" ht="15.75" x14ac:dyDescent="0.25">
      <c r="A25" s="3">
        <v>10</v>
      </c>
      <c r="B25" s="11" t="s">
        <v>8</v>
      </c>
      <c r="C25" s="5">
        <f>FV($D$18,A25*12,$D$16*-1)</f>
        <v>121642.1062650861</v>
      </c>
      <c r="D25" s="6">
        <f>C25*D12</f>
        <v>729.85263759051657</v>
      </c>
    </row>
    <row r="26" spans="1:4" ht="15.75" x14ac:dyDescent="0.25">
      <c r="A26" s="3">
        <v>20</v>
      </c>
      <c r="B26" s="11" t="s">
        <v>9</v>
      </c>
      <c r="C26" s="5">
        <f>FV($D$18,A26*12,$D$16*-1)</f>
        <v>562599.20004854025</v>
      </c>
      <c r="D26" s="6">
        <f>C26*D12</f>
        <v>3375.5952002912418</v>
      </c>
    </row>
    <row r="27" spans="1:4" ht="16.5" thickBot="1" x14ac:dyDescent="0.3">
      <c r="A27" s="3">
        <v>30</v>
      </c>
      <c r="B27" s="12" t="s">
        <v>10</v>
      </c>
      <c r="C27" s="7">
        <f>FV($D$18,A27*12,$D$16*-1)</f>
        <v>2161084.8275023573</v>
      </c>
      <c r="D27" s="8">
        <f>C27*D12</f>
        <v>12966.508965014144</v>
      </c>
    </row>
    <row r="28" spans="1:4" x14ac:dyDescent="0.25">
      <c r="D28" s="2"/>
    </row>
    <row r="29" spans="1:4" ht="15.75" x14ac:dyDescent="0.25">
      <c r="B29" s="44" t="s">
        <v>18</v>
      </c>
      <c r="C29" s="45" t="s">
        <v>28</v>
      </c>
      <c r="D29" s="46"/>
    </row>
    <row r="30" spans="1:4" ht="15.75" x14ac:dyDescent="0.25">
      <c r="B30" s="50" t="s">
        <v>17</v>
      </c>
      <c r="C30" s="51">
        <f>Aporte</f>
        <v>500</v>
      </c>
      <c r="D30" s="52"/>
    </row>
    <row r="32" spans="1:4" x14ac:dyDescent="0.25">
      <c r="B32" s="47" t="s">
        <v>19</v>
      </c>
      <c r="C32" s="47" t="s">
        <v>20</v>
      </c>
      <c r="D32" s="47" t="s">
        <v>21</v>
      </c>
    </row>
    <row r="33" spans="2:4" x14ac:dyDescent="0.25">
      <c r="B33" s="1" t="s">
        <v>22</v>
      </c>
      <c r="C33" s="58">
        <f>VLOOKUP($C$29&amp;"-"&amp;B33,Planilha2!A:D,4,FALSE)</f>
        <v>0.3</v>
      </c>
      <c r="D33" s="4">
        <f>C33*$C$30</f>
        <v>150</v>
      </c>
    </row>
    <row r="34" spans="2:4" x14ac:dyDescent="0.25">
      <c r="B34" s="1" t="s">
        <v>23</v>
      </c>
      <c r="C34" s="58">
        <f>VLOOKUP($C$29&amp;"-"&amp;B34,Planilha2!A:D,4,FALSE)</f>
        <v>0.5</v>
      </c>
      <c r="D34" s="4">
        <f t="shared" ref="D34:D38" si="0">C34*$C$30</f>
        <v>250</v>
      </c>
    </row>
    <row r="35" spans="2:4" x14ac:dyDescent="0.25">
      <c r="B35" s="1" t="s">
        <v>24</v>
      </c>
      <c r="C35" s="58">
        <f>VLOOKUP($C$29&amp;"-"&amp;B35,Planilha2!A:D,4,FALSE)</f>
        <v>0.1</v>
      </c>
      <c r="D35" s="4">
        <f t="shared" si="0"/>
        <v>50</v>
      </c>
    </row>
    <row r="36" spans="2:4" x14ac:dyDescent="0.25">
      <c r="B36" s="1" t="s">
        <v>25</v>
      </c>
      <c r="C36" s="58">
        <f>VLOOKUP($C$29&amp;"-"&amp;B36,Planilha2!A:D,4,FALSE)</f>
        <v>0.1</v>
      </c>
      <c r="D36" s="4">
        <f t="shared" si="0"/>
        <v>50</v>
      </c>
    </row>
    <row r="37" spans="2:4" x14ac:dyDescent="0.25">
      <c r="B37" s="1" t="s">
        <v>26</v>
      </c>
      <c r="C37" s="58">
        <f>VLOOKUP($C$29&amp;"-"&amp;B37,Planilha2!A:D,4,FALSE)</f>
        <v>0</v>
      </c>
      <c r="D37" s="4">
        <f t="shared" si="0"/>
        <v>0</v>
      </c>
    </row>
    <row r="38" spans="2:4" x14ac:dyDescent="0.25">
      <c r="B38" s="1" t="s">
        <v>27</v>
      </c>
      <c r="C38" s="58">
        <f>VLOOKUP($C$29&amp;"-"&amp;B38,Planilha2!A:D,4,FALSE)</f>
        <v>0</v>
      </c>
      <c r="D38" s="4">
        <f t="shared" si="0"/>
        <v>0</v>
      </c>
    </row>
    <row r="39" spans="2:4" x14ac:dyDescent="0.25">
      <c r="B39" s="48"/>
      <c r="C39" s="48"/>
      <c r="D39" s="49">
        <f>SUM(D33:D38)</f>
        <v>500</v>
      </c>
    </row>
    <row r="49" customFormat="1" x14ac:dyDescent="0.25"/>
    <row r="50" customFormat="1" x14ac:dyDescent="0.25"/>
    <row r="51" customFormat="1" x14ac:dyDescent="0.25"/>
  </sheetData>
  <mergeCells count="11">
    <mergeCell ref="B19:C19"/>
    <mergeCell ref="B20:C20"/>
    <mergeCell ref="B15:D15"/>
    <mergeCell ref="B10:D10"/>
    <mergeCell ref="B22:C22"/>
    <mergeCell ref="B11:C11"/>
    <mergeCell ref="B12:C12"/>
    <mergeCell ref="B13:C13"/>
    <mergeCell ref="B16:C16"/>
    <mergeCell ref="B17:C17"/>
    <mergeCell ref="B18:C18"/>
  </mergeCells>
  <dataValidations count="1">
    <dataValidation type="list" allowBlank="1" showInputMessage="1" showErrorMessage="1" sqref="C29" xr:uid="{91D4EAED-104A-41CA-8735-78AE9637FED1}">
      <formula1>"Conservador,Moderado,Agressivo,"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0E799-2FFA-4FF0-9471-4AFA36117444}">
  <dimension ref="A1:G19"/>
  <sheetViews>
    <sheetView workbookViewId="0">
      <selection activeCell="G4" sqref="G4"/>
    </sheetView>
  </sheetViews>
  <sheetFormatPr defaultRowHeight="15" x14ac:dyDescent="0.25"/>
  <cols>
    <col min="1" max="1" width="31.28515625" bestFit="1" customWidth="1"/>
    <col min="2" max="2" width="12.5703125" customWidth="1"/>
    <col min="3" max="3" width="19" bestFit="1" customWidth="1"/>
    <col min="4" max="4" width="9.140625" style="1"/>
    <col min="6" max="6" width="19" customWidth="1"/>
  </cols>
  <sheetData>
    <row r="1" spans="1:7" x14ac:dyDescent="0.25">
      <c r="A1" t="s">
        <v>29</v>
      </c>
      <c r="B1" t="s">
        <v>18</v>
      </c>
      <c r="C1" t="s">
        <v>19</v>
      </c>
    </row>
    <row r="2" spans="1:7" x14ac:dyDescent="0.25">
      <c r="A2" t="str">
        <f>B2&amp;"-"&amp;C2</f>
        <v>Conservador-PAPEL</v>
      </c>
      <c r="B2" t="s">
        <v>28</v>
      </c>
      <c r="C2" s="1" t="s">
        <v>22</v>
      </c>
      <c r="D2" s="55">
        <v>0.3</v>
      </c>
    </row>
    <row r="3" spans="1:7" x14ac:dyDescent="0.25">
      <c r="A3" t="str">
        <f t="shared" ref="A3:A19" si="0">B3&amp;"-"&amp;C3</f>
        <v>Conservador-TIJOLO</v>
      </c>
      <c r="B3" t="s">
        <v>28</v>
      </c>
      <c r="C3" s="1" t="s">
        <v>23</v>
      </c>
      <c r="D3" s="55">
        <v>0.5</v>
      </c>
      <c r="F3" t="str">
        <f>A9</f>
        <v>Moderado-TIJOLO</v>
      </c>
      <c r="G3">
        <f>VLOOKUP(F3,$A:$D,4,FALSE)</f>
        <v>0.4</v>
      </c>
    </row>
    <row r="4" spans="1:7" x14ac:dyDescent="0.25">
      <c r="A4" t="str">
        <f t="shared" si="0"/>
        <v>Conservador-HÍBRIDOS</v>
      </c>
      <c r="B4" t="s">
        <v>28</v>
      </c>
      <c r="C4" s="1" t="s">
        <v>24</v>
      </c>
      <c r="D4" s="55">
        <v>0.1</v>
      </c>
    </row>
    <row r="5" spans="1:7" x14ac:dyDescent="0.25">
      <c r="A5" t="str">
        <f t="shared" si="0"/>
        <v>Conservador-FOFs</v>
      </c>
      <c r="B5" t="s">
        <v>28</v>
      </c>
      <c r="C5" s="1" t="s">
        <v>25</v>
      </c>
      <c r="D5" s="55">
        <v>0.1</v>
      </c>
    </row>
    <row r="6" spans="1:7" x14ac:dyDescent="0.25">
      <c r="A6" s="15" t="str">
        <f t="shared" si="0"/>
        <v>Conservador-DESENVOLVIMENTO</v>
      </c>
      <c r="B6" s="15" t="s">
        <v>28</v>
      </c>
      <c r="C6" s="16" t="s">
        <v>26</v>
      </c>
      <c r="D6" s="56">
        <v>0</v>
      </c>
    </row>
    <row r="7" spans="1:7" x14ac:dyDescent="0.25">
      <c r="A7" s="53" t="str">
        <f t="shared" si="0"/>
        <v>Conservador-HOTELARIAS</v>
      </c>
      <c r="B7" s="53" t="s">
        <v>28</v>
      </c>
      <c r="C7" s="54" t="s">
        <v>27</v>
      </c>
      <c r="D7" s="57">
        <v>0</v>
      </c>
    </row>
    <row r="8" spans="1:7" x14ac:dyDescent="0.25">
      <c r="A8" t="str">
        <f t="shared" si="0"/>
        <v>Moderado-PAPEL</v>
      </c>
      <c r="B8" t="s">
        <v>30</v>
      </c>
      <c r="C8" s="1" t="s">
        <v>22</v>
      </c>
      <c r="D8" s="58">
        <v>0.32</v>
      </c>
    </row>
    <row r="9" spans="1:7" x14ac:dyDescent="0.25">
      <c r="A9" t="str">
        <f t="shared" si="0"/>
        <v>Moderado-TIJOLO</v>
      </c>
      <c r="B9" t="s">
        <v>30</v>
      </c>
      <c r="C9" s="1" t="s">
        <v>23</v>
      </c>
      <c r="D9" s="58">
        <v>0.4</v>
      </c>
    </row>
    <row r="10" spans="1:7" x14ac:dyDescent="0.25">
      <c r="A10" t="str">
        <f t="shared" si="0"/>
        <v>Moderado-HÍBRIDOS</v>
      </c>
      <c r="B10" t="s">
        <v>30</v>
      </c>
      <c r="C10" s="1" t="s">
        <v>24</v>
      </c>
      <c r="D10" s="58">
        <v>0.08</v>
      </c>
    </row>
    <row r="11" spans="1:7" x14ac:dyDescent="0.25">
      <c r="A11" t="str">
        <f t="shared" si="0"/>
        <v>Moderado-FOFs</v>
      </c>
      <c r="B11" t="s">
        <v>30</v>
      </c>
      <c r="C11" s="1" t="s">
        <v>25</v>
      </c>
      <c r="D11" s="58">
        <v>0.1</v>
      </c>
    </row>
    <row r="12" spans="1:7" x14ac:dyDescent="0.25">
      <c r="A12" s="15" t="str">
        <f t="shared" si="0"/>
        <v>Moderado-DESENVOLVIMENTO</v>
      </c>
      <c r="B12" s="15" t="s">
        <v>30</v>
      </c>
      <c r="C12" s="16" t="s">
        <v>26</v>
      </c>
      <c r="D12" s="59">
        <v>0.05</v>
      </c>
    </row>
    <row r="13" spans="1:7" x14ac:dyDescent="0.25">
      <c r="A13" s="53" t="str">
        <f t="shared" si="0"/>
        <v>Moderado-HOTELARIAS</v>
      </c>
      <c r="B13" s="53" t="s">
        <v>30</v>
      </c>
      <c r="C13" s="54" t="s">
        <v>27</v>
      </c>
      <c r="D13" s="60">
        <v>0.05</v>
      </c>
    </row>
    <row r="14" spans="1:7" x14ac:dyDescent="0.25">
      <c r="A14" t="str">
        <f t="shared" si="0"/>
        <v>Agressivo-PAPEL</v>
      </c>
      <c r="B14" t="s">
        <v>31</v>
      </c>
      <c r="C14" s="1" t="s">
        <v>22</v>
      </c>
      <c r="D14" s="58">
        <v>0.5</v>
      </c>
    </row>
    <row r="15" spans="1:7" x14ac:dyDescent="0.25">
      <c r="A15" t="str">
        <f t="shared" si="0"/>
        <v>Agressivo-TIJOLO</v>
      </c>
      <c r="B15" t="s">
        <v>31</v>
      </c>
      <c r="C15" s="1" t="s">
        <v>23</v>
      </c>
      <c r="D15" s="58">
        <v>0.1</v>
      </c>
    </row>
    <row r="16" spans="1:7" x14ac:dyDescent="0.25">
      <c r="A16" t="str">
        <f t="shared" si="0"/>
        <v>Agressivo-HÍBRIDOS</v>
      </c>
      <c r="B16" t="s">
        <v>31</v>
      </c>
      <c r="C16" s="1" t="s">
        <v>24</v>
      </c>
      <c r="D16" s="58">
        <v>0.05</v>
      </c>
    </row>
    <row r="17" spans="1:4" x14ac:dyDescent="0.25">
      <c r="A17" t="str">
        <f t="shared" si="0"/>
        <v>Agressivo-FOFs</v>
      </c>
      <c r="B17" t="s">
        <v>31</v>
      </c>
      <c r="C17" s="1" t="s">
        <v>25</v>
      </c>
      <c r="D17" s="58">
        <v>0.05</v>
      </c>
    </row>
    <row r="18" spans="1:4" x14ac:dyDescent="0.25">
      <c r="A18" t="str">
        <f t="shared" si="0"/>
        <v>Agressivo-DESENVOLVIMENTO</v>
      </c>
      <c r="B18" t="s">
        <v>31</v>
      </c>
      <c r="C18" s="1" t="s">
        <v>26</v>
      </c>
      <c r="D18" s="58">
        <v>0.2</v>
      </c>
    </row>
    <row r="19" spans="1:4" x14ac:dyDescent="0.25">
      <c r="A19" t="str">
        <f t="shared" si="0"/>
        <v>Agressivo-HOTELARIAS</v>
      </c>
      <c r="B19" t="s">
        <v>31</v>
      </c>
      <c r="C19" s="1" t="s">
        <v>27</v>
      </c>
      <c r="D19" s="5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Gardênia Coelho</dc:creator>
  <cp:lastModifiedBy>Gardênia Coelho</cp:lastModifiedBy>
  <dcterms:created xsi:type="dcterms:W3CDTF">2025-12-27T21:33:30Z</dcterms:created>
  <dcterms:modified xsi:type="dcterms:W3CDTF">2025-12-28T00:20:52Z</dcterms:modified>
</cp:coreProperties>
</file>